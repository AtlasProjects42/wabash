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Sources" sheetId="3" state="visible" r:id="rId3"/>
  </sheets>
  <definedNames>
    <definedName name="_xlnm._FilterDatabase" localSheetId="1" hidden="1">'Events'!$A$1:$V$265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sz val="9"/>
    </font>
    <font>
      <name val="Arial"/>
      <charset val="1"/>
      <family val="0"/>
      <i val="1"/>
      <color rgb="FFC00000"/>
      <sz val="9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2" min="1" max="1"/>
    <col width="110" customWidth="1" style="12" min="2" max="2"/>
  </cols>
  <sheetData>
    <row r="1" ht="86.25" customHeight="1" s="13">
      <c r="A1" s="14" t="inlineStr">
        <is>
          <t>Regional Climate &amp; Weather Event Register — Catskills / Hudson Valley / Capital Region</t>
        </is>
      </c>
      <c r="B1" s="15" t="n"/>
    </row>
    <row r="2" ht="34.5" customHeight="1" s="13">
      <c r="A2" s="15" t="inlineStr">
        <is>
          <t>Reference point for the Wind &amp; Tornado sheet: Westerlo, NY hamlet</t>
        </is>
      </c>
      <c r="B2" s="15" t="n"/>
    </row>
    <row r="3" ht="15" customHeight="1" s="13">
      <c r="A3" s="15" t="inlineStr">
        <is>
          <t>Westerlo latitude</t>
        </is>
      </c>
      <c r="B3" s="16" t="n">
        <v>42.517</v>
      </c>
    </row>
    <row r="4" ht="15" customHeight="1" s="13">
      <c r="A4" s="15" t="inlineStr">
        <is>
          <t>Westerlo longitude</t>
        </is>
      </c>
      <c r="B4" s="16" t="n">
        <v>-74.045</v>
      </c>
    </row>
    <row r="5" ht="15" customHeight="1" s="13">
      <c r="A5" s="15" t="inlineStr">
        <is>
          <t>Search radius (miles)</t>
        </is>
      </c>
      <c r="B5" s="16" t="n">
        <v>30</v>
      </c>
    </row>
    <row r="6" ht="191.25" customHeight="1" s="13">
      <c r="A6" s="15" t="inlineStr">
        <is>
          <t>Radius note: the 30-mile radius applies ONLY to the Wind &amp; Tornado sheet (localized, small-footprint events). Regional hazards — floods, ice jams, droughts, cold waves, blizzards, heat waves — are NOT radius-limited; they are included wherever they affected the Catskills, Hudson Valley, Mohawk Valley or Capital Region. The CRREL ice-jam sheet uses a 75-mile regional footprint with its own Dist. column.</t>
        </is>
      </c>
      <c r="B6" s="15" t="n"/>
    </row>
    <row r="7" ht="15" customHeight="1" s="13">
      <c r="A7" s="17" t="n"/>
      <c r="B7" s="15" t="n"/>
    </row>
    <row r="8" ht="15" customHeight="1" s="13">
      <c r="A8" s="15" t="inlineStr">
        <is>
          <t>Sheets</t>
        </is>
      </c>
      <c r="B8" s="15" t="n"/>
    </row>
    <row r="9" ht="15" customHeight="1" s="13">
      <c r="A9" s="15" t="inlineStr">
        <is>
          <t>Events</t>
        </is>
      </c>
      <c r="B9" s="15" t="inlineStr">
        <is>
          <t>One row per event. ~150 rows. Sort/filter by Category, Confidence, Verified.</t>
        </is>
      </c>
    </row>
    <row r="10" ht="34.5" customHeight="1" s="13">
      <c r="A10" s="15" t="inlineStr">
        <is>
          <t>Wind &amp; Tornadoes</t>
        </is>
      </c>
      <c r="B10" s="15" t="inlineStr">
        <is>
          <t>Every tornado from NCEI (1950–2012 via Tornado Project; 2013+ via NWS ALY surveys/tornadopath) within ~45 mi, plus Grazulis pre-1950 F2+/deadly, plus notable straight-line wind days. Distance from Westerlo is a live haversine formula off the cells above; 'Within radius' flag recalculates if you change the radius.</t>
        </is>
      </c>
    </row>
    <row r="11" ht="15" customHeight="1" s="13">
      <c r="A11" s="15" t="inlineStr">
        <is>
          <t>Summary</t>
        </is>
      </c>
      <c r="B11" s="15" t="inlineStr">
        <is>
          <t>COUNTIF roll-ups by category, confidence and century; tornado counts by rating and within-radius.</t>
        </is>
      </c>
    </row>
    <row r="12" ht="15" customHeight="1" s="13">
      <c r="A12" s="15" t="inlineStr">
        <is>
          <t>Sources</t>
        </is>
      </c>
      <c r="B12" s="15" t="inlineStr">
        <is>
          <t>Primary sources with URLs and what each is good for.</t>
        </is>
      </c>
    </row>
    <row r="13" ht="15" customHeight="1" s="13">
      <c r="A13" s="17" t="n"/>
      <c r="B13" s="15" t="n"/>
    </row>
    <row r="14" ht="15" customHeight="1" s="13">
      <c r="A14" s="15" t="inlineStr">
        <is>
          <t>Confidence grades</t>
        </is>
      </c>
      <c r="B14" s="15" t="n"/>
    </row>
    <row r="15" ht="15" customHeight="1" s="13">
      <c r="A15" s="15" t="inlineStr">
        <is>
          <t>A</t>
        </is>
      </c>
      <c r="B15" s="15" t="inlineStr">
        <is>
          <t>Instrument-era figure taken directly from NWS Albany, NCEI, USGS, or an NWS storm survey this pass.</t>
        </is>
      </c>
    </row>
    <row r="16" ht="15" customHeight="1" s="13">
      <c r="A16" s="15" t="inlineStr">
        <is>
          <t>B</t>
        </is>
      </c>
      <c r="B16" s="15" t="inlineStr">
        <is>
          <t>Well-documented event; figures from secondary sources or from memory of standard references — check before quoting a number.</t>
        </is>
      </c>
    </row>
    <row r="17" ht="15" customHeight="1" s="13">
      <c r="A17" s="15" t="inlineStr">
        <is>
          <t>C</t>
        </is>
      </c>
      <c r="B17" s="15" t="inlineStr">
        <is>
          <t>Chronicle/diary-era (pre-~1870) or qualitative; treat as 'it happened and was bad', not as data.</t>
        </is>
      </c>
    </row>
    <row r="18" ht="15" customHeight="1" s="13">
      <c r="A18" s="17" t="n"/>
      <c r="B18" s="15" t="n"/>
    </row>
    <row r="19" ht="23.25" customHeight="1" s="13">
      <c r="A19" s="15" t="inlineStr">
        <is>
          <t>Verified column</t>
        </is>
      </c>
      <c r="B19" s="15" t="inlineStr">
        <is>
          <t>Y = checked against a primary source during this build (NWS ALY Past Events page, Tornado Project county tables, NCEI, NWS ALY July 2026 writeup). N = not yet checked; these are the rows to work through first.</t>
        </is>
      </c>
    </row>
    <row r="20" ht="15" customHeight="1" s="13">
      <c r="A20" s="17" t="n"/>
      <c r="B20" s="15" t="n"/>
    </row>
    <row r="21" ht="15" customHeight="1" s="13">
      <c r="A21" s="15" t="inlineStr">
        <is>
          <t>Known gaps / to-do</t>
        </is>
      </c>
      <c r="B21" s="15" t="n"/>
    </row>
    <row r="22" ht="23.25" customHeight="1" s="13">
      <c r="A22" s="15" t="inlineStr">
        <is>
          <t>1</t>
        </is>
      </c>
      <c r="B22" s="15" t="inlineStr">
        <is>
          <t>Pre-1870 growing-season disasters are under-represented; Ludlum and county histories (Beers, Munsell's Annals of Albany) would fill them.</t>
        </is>
      </c>
    </row>
    <row r="23" ht="23.25" customHeight="1" s="13">
      <c r="A23" s="15" t="inlineStr">
        <is>
          <t>2</t>
        </is>
      </c>
      <c r="B23" s="15" t="inlineStr">
        <is>
          <t>Albany all-time extremes (104°F Jul 4 1911; –28°F Jan 19 1971) not yet re-checked against weather.gov/media/aly/Climate/ALB_Extremes.pdf.</t>
        </is>
      </c>
    </row>
    <row r="24" ht="15" customHeight="1" s="13">
      <c r="A24" s="15" t="inlineStr">
        <is>
          <t>3</t>
        </is>
      </c>
      <c r="B24" s="15" t="inlineStr">
        <is>
          <t>Post-2012 tornado coordinates marked 'approx' should be replaced with NCEI begin/end lat-lon.</t>
        </is>
      </c>
    </row>
    <row r="25" ht="15" customHeight="1" s="13">
      <c r="A25" s="15" t="inlineStr">
        <is>
          <t>4</t>
        </is>
      </c>
      <c r="B25" s="15" t="inlineStr">
        <is>
          <t>April 21, 2021 tornado locations and the July 27, 2014 EF1 location not captured.</t>
        </is>
      </c>
    </row>
    <row r="26" ht="23.25" customHeight="1" s="13">
      <c r="A26" s="15" t="inlineStr">
        <is>
          <t>5</t>
        </is>
      </c>
      <c r="B26" s="15" t="inlineStr">
        <is>
          <t>Frost/freeze dates for the Helderberg plateau specifically: pull GHCN daily for the nearest coop (Rensselaerville? Delanson? Albany AP as fallback) rather than trusting valley stations.</t>
        </is>
      </c>
    </row>
    <row r="27" ht="15" customHeight="1" s="13">
      <c r="A27" s="15" t="inlineStr">
        <is>
          <t>6</t>
        </is>
      </c>
      <c r="B27" s="15" t="inlineStr">
        <is>
          <t>Drought years should be re-graded from the US Drought Monitor archive (2000+) and Palmer indices (pre-2000).</t>
        </is>
      </c>
    </row>
    <row r="28" ht="15" customHeight="1" s="13">
      <c r="A28" s="15" t="n"/>
      <c r="B28" s="15" t="n"/>
    </row>
    <row r="29" ht="34.5" customHeight="1" s="13">
      <c r="A29" s="15" t="inlineStr">
        <is>
          <t>Timeline anchors</t>
        </is>
      </c>
      <c r="B29" s="15" t="inlineStr">
        <is>
          <t>Columns Q–V on Events give one anchor date per row for plotting. Precision: day = the date is the date; days = anchored to the first (or peak) day of a ≤10-day event; week/month/season/year = a representative point inside a longer window (mid-point unless the basis column says otherwise). Filter on precision when you build the timeline so you don't plot a drought as if it happened on one afternoon.</t>
        </is>
      </c>
    </row>
    <row r="30" ht="23.25" customHeight="1" s="13">
      <c r="A30" s="15" t="inlineStr">
        <is>
          <t>Dates before 1900</t>
        </is>
      </c>
      <c r="B30" s="15" t="inlineStr">
        <is>
          <t>Excel cannot store dates before 1900-01-01, so all dates are ISO text and the anchor is split into numeric Year/Month/Day columns — the format TimelineJS and most timeline libraries expect.</t>
        </is>
      </c>
    </row>
    <row r="31" ht="23.25" customHeight="1" s="13">
      <c r="A31" s="15" t="inlineStr">
        <is>
          <t>Geohazard rows</t>
        </is>
      </c>
      <c r="B31" s="15" t="inlineStr">
        <is>
          <t>Categories Ice jam, Landslide, Sinkhole (karst vs infrastructure) added. Two rows are context/pattern rows (precision = year) and should be filtered out of a point timeline. Three Niagara rows are flagged OUT OF REGION in the name.</t>
        </is>
      </c>
    </row>
    <row r="32" ht="34.5" customHeight="1" s="13">
      <c r="A32" s="15" t="inlineStr">
        <is>
          <t>Cells highlighted yellow are inputs you can change.</t>
        </is>
      </c>
      <c r="B32" s="15" t="n"/>
    </row>
    <row r="34" ht="15" customHeight="1" s="13">
      <c r="A34" s="12" t="inlineStr">
        <is>
          <t>--- 2026-09-21 addendum (Claude, atlas session — the original research chat was NOT reopened) ---</t>
        </is>
      </c>
    </row>
    <row r="35" ht="15" customHeight="1" s="13">
      <c r="A35" s="12" t="inlineStr">
        <is>
          <t>Cross-checked this handoff package against the atlas's own copy of the register: the atlas copy was already ahead (293 events / 29 sources / 29 karst features vs 264/24/24 here), so nothing was missing.</t>
        </is>
      </c>
    </row>
    <row r="36" ht="15" customHeight="1" s="13">
      <c r="A36" s="12" t="inlineStr">
        <is>
          <t>Then worked the open-items list as far as web search + the atlas's own station data would go:</t>
        </is>
      </c>
    </row>
    <row r="37" ht="15" customHeight="1" s="13">
      <c r="A37" s="12" t="inlineStr">
        <is>
          <t xml:space="preserve">  #1 Knox Cave month: the 2025 Pomeroy Foundation historic marker independently says March 1975 — now 2 sources for March vs 1 for May vs 1 for 1976. Anchor updated to 1975-03 (month precision; day still not asserted). See Events row 141 and Sources.</t>
        </is>
      </c>
    </row>
    <row r="38" ht="15" customHeight="1" s="13">
      <c r="A38" s="12" t="inlineStr">
        <is>
          <t xml:space="preserve">  #3 Albany extremes: CONFIRMED against the current ALB_Extremes.pdf — 104°F Jul 4 1911 / -28°F Jan 19 1971, exactly as already recorded.</t>
        </is>
      </c>
    </row>
    <row r="39" ht="15" customHeight="1" s="13">
      <c r="A39" s="12" t="inlineStr">
        <is>
          <t xml:space="preserve">  #4 Frost/freeze phenology: built from Alcove Dam's own daily record (already in the atlas repo, no new upload needed) — see the new "Frost &amp; Freeze Phenology" sheet. 70-year and recent-30-year medians, full year-by-year table. Alcove Dam is ~590 ft, ~1,100 ft below Laurie's plateau — the best available regional anchor, not a plateau substitute.</t>
        </is>
      </c>
    </row>
    <row r="40" ht="15" customHeight="1" s="13">
      <c r="A40" s="12" t="inlineStr">
        <is>
          <t xml:space="preserve">  Bonus: Stone (2005 NCKMS) corrects McFail's own death to July 1, 1854 (not the widely repeated 1853 from Roscoe 1882) — logged in Sources. Did NOT find the historic-entrance collapse date (#2) — still open.</t>
        </is>
      </c>
    </row>
    <row r="41" ht="15" customHeight="1" s="13">
      <c r="A41" s="12" t="inlineStr">
        <is>
          <t>STILL OPEN, genuinely unresolved by this pass (need the original chat's archive access or Laurie's own future work, not just web search):</t>
        </is>
      </c>
    </row>
    <row r="42" ht="15" customHeight="1" s="13">
      <c r="A42" s="12" t="inlineStr">
        <is>
          <t xml:space="preserve">  #2 McFails historic-entrance collapse date. #5 Ludlum vol. II (1821-1870) — a physical/scanned book, not found online. #6 Fine-grained LiDAR sinkholes off Laurie's own parcel DEM — her own QGIS work (see the separate Westerlo_land_mapping package, which already ran this on her 25 acres and found NO karst there — see data/hilltowns_poi_lore_notes.md). #7 NYS Museum karst inventory / USGS SIR 2020-5030 Appendix 1 — not ingested. #8 Post-2012 tornado exact coordinates — would need the row-by-row NCEI lookup, not attempted this pass.</t>
        </is>
      </c>
    </row>
    <row r="43" ht="15" customHeight="1" s="13">
      <c r="A43" s="12" t="inlineStr">
        <is>
          <t>The Folklore doc's lore items (Knox Cave legends, Old Skull bone-chamber, Clarksville wall carvings, Barton Hill "hollow hill") were appended to data/hilltowns_poi_lore_notes.md for the Lore Map — kept OUT of this register per the original project's own convention.</t>
        </is>
      </c>
    </row>
    <row r="45" ht="15" customHeight="1" s="13">
      <c r="A45" s="12" t="inlineStr">
        <is>
          <t>--- 2026-09-21 addendum #2 (Claude, atlas session) ---</t>
        </is>
      </c>
    </row>
    <row r="46" ht="15" customHeight="1" s="13">
      <c r="A46" s="12" t="inlineStr">
        <is>
          <t>Laurie sent a second handoff package (Westerlo_Climate_Register_HANDOFF_v2) from the original research chat, which had branched forward independently after the first handoff — the two branches genuinely diverged (mine has the Knox Cave date fix + 4 new sources + the Frost sheet; v2 has 5 newly researched karst features with real published/USGS coordinates and a full coordinate pass on the whole Karst sheet).</t>
        </is>
      </c>
    </row>
    <row r="47" ht="15" customHeight="1" s="13">
      <c r="A47" s="12" t="inlineStr">
        <is>
          <t>Merged v2 into this file: 21 existing Subsidence &amp; Karst rows got real coordinates (replacing hamlet-centroid guesses) and 4 new coordinate/precision/source columns; 5 new features added (Natural Stone Bridge &amp; Caves, Bartholomew's Cobble/Eldon's Cave, Rosendale/Widow Jane Mine, Tory Cave, Wolf Hollow) plus the scope-note and carbonate-belt-polygon rows. Matching Geology-layer pins updated/added in data/points_of_interest.xlsx; Tory Cave's 1777 Loyalist-spy lore also added to the Folklore layer.</t>
        </is>
      </c>
    </row>
    <row r="48" ht="15" customHeight="1" s="13">
      <c r="A48" s="12" t="inlineStr">
        <is>
          <t>v2 did NOT carry my Knox Cave date fix or the 4 new sources forward — those stay atlas-only unless the original chat is refreshed from here.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2" min="1" max="1"/>
    <col width="12" customWidth="1" style="12" min="2" max="3"/>
    <col width="7" customWidth="1" style="12" min="4" max="4"/>
    <col width="9" customWidth="1" style="12" min="5" max="5"/>
    <col width="22" customWidth="1" style="12" min="6" max="6"/>
    <col width="34" customWidth="1" style="12" min="7" max="7"/>
    <col width="28" customWidth="1" style="12" min="8" max="8"/>
    <col width="40" customWidth="1" style="12" min="9" max="9"/>
    <col width="18" customWidth="1" style="12" min="10" max="10"/>
    <col width="55" customWidth="1" style="12" min="11" max="11"/>
    <col width="30" customWidth="1" style="12" min="12" max="13"/>
    <col width="10" customWidth="1" style="12" min="14" max="15"/>
    <col width="40" customWidth="1" style="12" min="16" max="16"/>
    <col width="13" customWidth="1" style="12" min="17" max="17"/>
    <col width="8" customWidth="1" style="12" min="18" max="19"/>
    <col width="7" customWidth="1" style="12" min="20" max="20"/>
    <col width="10" customWidth="1" style="12" min="21" max="21"/>
    <col width="40" customWidth="1" style="12" min="22" max="22"/>
  </cols>
  <sheetData>
    <row r="1" ht="45.75" customHeight="1" s="13">
      <c r="A1" s="18" t="inlineStr">
        <is>
          <t>ID</t>
        </is>
      </c>
      <c r="B1" s="18" t="inlineStr">
        <is>
          <t>Start date</t>
        </is>
      </c>
      <c r="C1" s="18" t="inlineStr">
        <is>
          <t>End date</t>
        </is>
      </c>
      <c r="D1" s="18" t="inlineStr">
        <is>
          <t>Year</t>
        </is>
      </c>
      <c r="E1" s="18" t="inlineStr">
        <is>
          <t>Century</t>
        </is>
      </c>
      <c r="F1" s="18" t="inlineStr">
        <is>
          <t>Category</t>
        </is>
      </c>
      <c r="G1" s="18" t="inlineStr">
        <is>
          <t>Event name</t>
        </is>
      </c>
      <c r="H1" s="18" t="inlineStr">
        <is>
          <t>Area affected</t>
        </is>
      </c>
      <c r="I1" s="18" t="inlineStr">
        <is>
          <t>Key measurement</t>
        </is>
      </c>
      <c r="J1" s="18" t="inlineStr">
        <is>
          <t>Station / gauge</t>
        </is>
      </c>
      <c r="K1" s="18" t="inlineStr">
        <is>
          <t>Impact summary</t>
        </is>
      </c>
      <c r="L1" s="18" t="inlineStr">
        <is>
          <t>Primary source</t>
        </is>
      </c>
      <c r="M1" s="18" t="inlineStr">
        <is>
          <t>Source URL</t>
        </is>
      </c>
      <c r="N1" s="18" t="inlineStr">
        <is>
          <t>Confidence</t>
        </is>
      </c>
      <c r="O1" s="18" t="inlineStr">
        <is>
          <t>Verified this pass</t>
        </is>
      </c>
      <c r="P1" s="18" t="inlineStr">
        <is>
          <t>Notes / to-do</t>
        </is>
      </c>
      <c r="Q1" s="18" t="inlineStr">
        <is>
          <t>Timeline anchor (ISO)</t>
        </is>
      </c>
      <c r="R1" s="18" t="inlineStr">
        <is>
          <t>Anchor year</t>
        </is>
      </c>
      <c r="S1" s="18" t="inlineStr">
        <is>
          <t>Anchor month</t>
        </is>
      </c>
      <c r="T1" s="18" t="inlineStr">
        <is>
          <t>Anchor day</t>
        </is>
      </c>
      <c r="U1" s="18" t="inlineStr">
        <is>
          <t>Date precision</t>
        </is>
      </c>
      <c r="V1" s="18" t="inlineStr">
        <is>
          <t>Anchor basis</t>
        </is>
      </c>
      <c r="W1" s="12" t="inlineStr">
        <is>
          <t>Show on timeline</t>
        </is>
      </c>
    </row>
    <row r="2" ht="34.5" customHeight="1" s="13">
      <c r="A2" s="19" t="n">
        <v>1</v>
      </c>
      <c r="B2" s="19" t="inlineStr">
        <is>
          <t>1635-08-25</t>
        </is>
      </c>
      <c r="C2" s="19" t="inlineStr">
        <is>
          <t>1635-08-25</t>
        </is>
      </c>
      <c r="D2" s="19">
        <f>VALUE(LEFT(B2,4))</f>
        <v/>
      </c>
      <c r="E2" s="19">
        <f>INT((D2-1)/100)+1</f>
        <v/>
      </c>
      <c r="F2" s="19" t="inlineStr">
        <is>
          <t>Tropical cyclone</t>
        </is>
      </c>
      <c r="G2" s="19" t="inlineStr">
        <is>
          <t>The Great Colonial Hurricane of 1635</t>
        </is>
      </c>
      <c r="H2" s="19" t="inlineStr">
        <is>
          <t>New England; track inland over W. New England / NY State</t>
        </is>
      </c>
      <c r="I2" s="19" t="inlineStr">
        <is>
          <t>Trough of low pressure over W. New England or NY State drove the storm north; forests leveled, hundreds of thousands of trees down</t>
        </is>
      </c>
      <c r="J2" s="19" t="inlineStr">
        <is>
          <t>Winthrop &amp; Bradford diaries via Ludlum</t>
        </is>
      </c>
      <c r="K2" s="19" t="inlineStr">
        <is>
          <t>The greatest NE hurricane of the colonial period; Mather inferred a well-established low-pressure trough over western New England or NY State. Aug 15 Old Style = Aug 25 New Style.</t>
        </is>
      </c>
      <c r="L2" s="19" t="inlineStr">
        <is>
          <t>Ludlum, Early American Hurricanes 1492–1870 (AMS, 1963), pp. 8–23 (verified, page images/text)</t>
        </is>
      </c>
      <c r="M2" s="19" t="inlineStr">
        <is>
          <t>https://hdl.handle.net/2027/mdp.39015002912718</t>
        </is>
      </c>
      <c r="N2" s="19" t="inlineStr">
        <is>
          <t>C</t>
        </is>
      </c>
      <c r="O2" s="19" t="inlineStr">
        <is>
          <t>Y</t>
        </is>
      </c>
      <c r="P2" s="19" t="inlineStr">
        <is>
          <t>Track inland of NY State inferred, not observed at Albany; included as the regional-scale storm-of-record for the 17th c.</t>
        </is>
      </c>
      <c r="Q2" s="19" t="inlineStr">
        <is>
          <t>1635-08-25</t>
        </is>
      </c>
      <c r="R2" s="19">
        <f>VALUE(LEFT(Q2,4))</f>
        <v/>
      </c>
      <c r="S2" s="19">
        <f>VALUE(MID(Q2,6,2))</f>
        <v/>
      </c>
      <c r="T2" s="19">
        <f>VALUE(RIGHT(Q2,2))</f>
        <v/>
      </c>
      <c r="U2" s="19" t="inlineStr">
        <is>
          <t>day</t>
        </is>
      </c>
      <c r="V2" s="19" t="inlineStr">
        <is>
          <t>Single-day event</t>
        </is>
      </c>
    </row>
    <row r="3" ht="45.75" customHeight="1" s="13"/>
    <row r="4" ht="34.5" customHeight="1" s="13"/>
    <row r="5" ht="45.75" customHeight="1" s="13"/>
    <row r="6" ht="57" customHeight="1" s="13"/>
    <row r="7" ht="34.5" customHeight="1" s="13"/>
    <row r="8" ht="45.75" customHeight="1" s="13"/>
    <row r="9" ht="45.75" customHeight="1" s="13"/>
    <row r="10" ht="68.25" customHeight="1" s="13"/>
    <row r="11" ht="34.5" customHeight="1" s="13"/>
    <row r="12" ht="23.25" customHeight="1" s="13"/>
    <row r="13" ht="34.5" customHeight="1" s="13"/>
    <row r="14" ht="57" customHeight="1" s="13"/>
    <row r="15" ht="45.75" customHeight="1" s="13"/>
    <row r="16" ht="34.5" customHeight="1" s="13"/>
    <row r="17" ht="45.75" customHeight="1" s="13"/>
    <row r="18" ht="45.75" customHeight="1" s="13"/>
    <row r="19" ht="57" customHeight="1" s="13"/>
    <row r="20" ht="68.25" customHeight="1" s="13"/>
    <row r="21" ht="34.5" customHeight="1" s="13"/>
    <row r="22" ht="34.5" customHeight="1" s="13"/>
    <row r="23" ht="45.75" customHeight="1" s="13"/>
    <row r="24" ht="57" customHeight="1" s="13"/>
    <row r="25" ht="34.5" customHeight="1" s="13"/>
    <row r="26" ht="45.75" customHeight="1" s="13"/>
    <row r="27" ht="90.75" customHeight="1" s="13"/>
    <row r="28" ht="57" customHeight="1" s="13"/>
    <row r="29" ht="34.5" customHeight="1" s="13"/>
    <row r="30" ht="90.75" customHeight="1" s="13"/>
    <row r="31" ht="90.75" customHeight="1" s="13"/>
    <row r="32" ht="68.25" customHeight="1" s="13"/>
    <row r="33" ht="34.5" customHeight="1" s="13"/>
    <row r="34" ht="45.75" customHeight="1" s="13"/>
    <row r="35" ht="45.75" customHeight="1" s="13"/>
    <row r="36" ht="45.75" customHeight="1" s="13"/>
    <row r="37" ht="79.5" customHeight="1" s="13"/>
    <row r="38" ht="90.75" customHeight="1" s="13"/>
    <row r="39" ht="34.5" customHeight="1" s="13"/>
    <row r="40" ht="34.5" customHeight="1" s="13"/>
    <row r="41" ht="34.5" customHeight="1" s="13"/>
    <row r="42" ht="45.75" customHeight="1" s="13"/>
    <row r="43" ht="34.5" customHeight="1" s="13"/>
    <row r="44" ht="23.25" customHeight="1" s="13"/>
    <row r="45" ht="23.25" customHeight="1" s="13"/>
    <row r="46" ht="57" customHeight="1" s="13"/>
    <row r="47" ht="45.75" customHeight="1" s="13"/>
    <row r="48" ht="34.5" customHeight="1" s="13"/>
    <row r="49" ht="68.25" customHeight="1" s="13"/>
    <row r="50" ht="34.5" customHeight="1" s="13"/>
    <row r="51" ht="23.25" customHeight="1" s="13"/>
    <row r="52" ht="23.25" customHeight="1" s="13"/>
    <row r="53" ht="23.25" customHeight="1" s="13"/>
    <row r="54" ht="34.5" customHeight="1" s="13"/>
    <row r="55" ht="45.75" customHeight="1" s="13"/>
    <row r="56" ht="90.75" customHeight="1" s="13"/>
    <row r="57" ht="34.5" customHeight="1" s="13"/>
    <row r="58" ht="90.75" customHeight="1" s="13"/>
    <row r="59" ht="34.5" customHeight="1" s="13"/>
    <row r="60" ht="79.5" customHeight="1" s="13"/>
    <row r="61" ht="90.75" customHeight="1" s="13"/>
    <row r="62" ht="90.75" customHeight="1" s="13"/>
    <row r="63" ht="90.75" customHeight="1" s="13"/>
    <row r="64" ht="23.25" customHeight="1" s="13"/>
    <row r="65" ht="23.25" customHeight="1" s="13"/>
    <row r="66" ht="34.5" customHeight="1" s="13"/>
    <row r="67" ht="34.5" customHeight="1" s="13"/>
    <row r="68" ht="45.75" customHeight="1" s="13"/>
    <row r="69" ht="23.25" customHeight="1" s="13"/>
    <row r="70" ht="57" customHeight="1" s="13"/>
    <row r="71" ht="34.5" customHeight="1" s="13"/>
    <row r="72" ht="23.25" customHeight="1" s="13"/>
    <row r="73" ht="23.25" customHeight="1" s="13"/>
    <row r="74" ht="34.5" customHeight="1" s="13"/>
    <row r="75" ht="23.25" customHeight="1" s="13"/>
    <row r="76" ht="34.5" customHeight="1" s="13"/>
    <row r="77" ht="68.25" customHeight="1" s="13"/>
    <row r="78" ht="23.25" customHeight="1" s="13"/>
    <row r="79" ht="34.5" customHeight="1" s="13"/>
    <row r="80" ht="23.25" customHeight="1" s="13"/>
    <row r="81" ht="23.25" customHeight="1" s="13"/>
    <row r="82" ht="23.25" customHeight="1" s="13"/>
    <row r="83" ht="23.25" customHeight="1" s="13"/>
    <row r="84" ht="23.25" customHeight="1" s="13"/>
    <row r="85" ht="34.5" customHeight="1" s="13"/>
    <row r="86" ht="23.25" customHeight="1" s="13"/>
    <row r="87" ht="23.25" customHeight="1" s="13"/>
    <row r="88" ht="45.75" customHeight="1" s="13"/>
    <row r="89" ht="23.25" customHeight="1" s="13"/>
    <row r="90" ht="23.25" customHeight="1" s="13"/>
    <row r="91" ht="23.25" customHeight="1" s="13"/>
    <row r="92" ht="23.25" customHeight="1" s="13"/>
    <row r="93" ht="34.5" customHeight="1" s="13"/>
    <row r="94" ht="23.25" customHeight="1" s="13"/>
    <row r="95" ht="23.25" customHeight="1" s="13"/>
    <row r="96" ht="23.25" customHeight="1" s="13"/>
    <row r="97" ht="23.25" customHeight="1" s="13"/>
    <row r="98" ht="23.25" customHeight="1" s="13"/>
    <row r="99" ht="23.25" customHeight="1" s="13"/>
    <row r="100" ht="34.5" customHeight="1" s="13"/>
    <row r="101" ht="23.25" customHeight="1" s="13"/>
    <row r="102" ht="23.25" customHeight="1" s="13"/>
    <row r="103" ht="23.25" customHeight="1" s="13"/>
    <row r="104" ht="23.25" customHeight="1" s="13"/>
    <row r="105" ht="23.25" customHeight="1" s="13"/>
    <row r="106" ht="15" customHeight="1" s="13"/>
    <row r="107" ht="23.25" customHeight="1" s="13"/>
    <row r="108" ht="23.25" customHeight="1" s="13"/>
    <row r="109" ht="34.5" customHeight="1" s="13"/>
    <row r="110" ht="23.25" customHeight="1" s="13"/>
    <row r="111" ht="23.25" customHeight="1" s="13"/>
    <row r="112" ht="23.25" customHeight="1" s="13"/>
    <row r="113" ht="23.25" customHeight="1" s="13"/>
    <row r="114" ht="15" customHeight="1" s="13"/>
    <row r="115" ht="23.25" customHeight="1" s="13"/>
    <row r="116" ht="23.25" customHeight="1" s="13"/>
    <row r="117" ht="23.25" customHeight="1" s="13"/>
    <row r="118" ht="34.5" customHeight="1" s="13"/>
    <row r="119" ht="23.25" customHeight="1" s="13"/>
    <row r="120" ht="23.25" customHeight="1" s="13"/>
    <row r="121" ht="15" customHeight="1" s="13"/>
    <row r="122" ht="23.25" customHeight="1" s="13"/>
    <row r="123" ht="23.25" customHeight="1" s="13"/>
    <row r="124" ht="23.25" customHeight="1" s="13"/>
    <row r="125" ht="23.25" customHeight="1" s="13"/>
    <row r="126" ht="23.25" customHeight="1" s="13"/>
    <row r="127" ht="23.25" customHeight="1" s="13"/>
    <row r="128" ht="23.25" customHeight="1" s="13"/>
    <row r="129" ht="45.75" customHeight="1" s="13"/>
    <row r="130" ht="23.25" customHeight="1" s="13"/>
    <row r="131" ht="23.25" customHeight="1" s="13"/>
    <row r="132" ht="23.25" customHeight="1" s="13"/>
    <row r="133" ht="23.25" customHeight="1" s="13"/>
    <row r="134" ht="23.25" customHeight="1" s="13"/>
    <row r="135" ht="23.25" customHeight="1" s="13"/>
    <row r="136" ht="23.25" customHeight="1" s="13"/>
    <row r="137" ht="23.25" customHeight="1" s="13"/>
    <row r="138" ht="23.25" customHeight="1" s="13"/>
    <row r="139" ht="23.25" customHeight="1" s="13"/>
    <row r="140" ht="23.25" customHeight="1" s="13"/>
    <row r="141" ht="23.25" customHeight="1" s="13"/>
    <row r="142" ht="135.75" customHeight="1" s="13"/>
    <row r="143" ht="23.25" customHeight="1" s="13"/>
    <row r="144" ht="23.25" customHeight="1" s="13"/>
    <row r="145" ht="23.25" customHeight="1" s="13"/>
    <row r="146" ht="23.25" customHeight="1" s="13"/>
    <row r="147" ht="23.25" customHeight="1" s="13"/>
    <row r="148" ht="23.25" customHeight="1" s="13"/>
    <row r="149" ht="23.25" customHeight="1" s="13"/>
    <row r="150" ht="45.75" customHeight="1" s="13"/>
    <row r="151" ht="23.25" customHeight="1" s="13"/>
    <row r="152" ht="23.25" customHeight="1" s="13"/>
    <row r="153" ht="23.25" customHeight="1" s="13"/>
    <row r="154" ht="23.25" customHeight="1" s="13"/>
    <row r="155" ht="23.25" customHeight="1" s="13"/>
    <row r="156" ht="23.25" customHeight="1" s="13"/>
    <row r="157" ht="23.25" customHeight="1" s="13"/>
    <row r="158" ht="15" customHeight="1" s="13"/>
    <row r="159" ht="23.25" customHeight="1" s="13"/>
    <row r="160" ht="23.25" customHeight="1" s="13"/>
    <row r="161" ht="23.25" customHeight="1" s="13"/>
    <row r="162" ht="34.5" customHeight="1" s="13"/>
    <row r="163" ht="23.25" customHeight="1" s="13"/>
    <row r="164" ht="68.25" customHeight="1" s="13"/>
    <row r="165" ht="23.25" customHeight="1" s="13"/>
    <row r="166" ht="23.25" customHeight="1" s="13"/>
    <row r="167" ht="23.25" customHeight="1" s="13"/>
    <row r="168" ht="23.25" customHeight="1" s="13"/>
    <row r="169" ht="23.25" customHeight="1" s="13"/>
    <row r="170" ht="23.25" customHeight="1" s="13"/>
    <row r="171" ht="23.25" customHeight="1" s="13"/>
    <row r="172" ht="23.25" customHeight="1" s="13"/>
    <row r="173" ht="23.25" customHeight="1" s="13"/>
    <row r="174" ht="23.25" customHeight="1" s="13"/>
    <row r="175" ht="23.25" customHeight="1" s="13"/>
    <row r="176" ht="23.25" customHeight="1" s="13"/>
    <row r="177" ht="23.25" customHeight="1" s="13"/>
    <row r="178" ht="23.25" customHeight="1" s="13"/>
    <row r="179" ht="23.25" customHeight="1" s="13"/>
    <row r="180" ht="23.25" customHeight="1" s="13"/>
    <row r="181" ht="23.25" customHeight="1" s="13"/>
    <row r="182" ht="23.25" customHeight="1" s="13"/>
    <row r="183" ht="23.25" customHeight="1" s="13"/>
    <row r="184" ht="23.25" customHeight="1" s="13"/>
    <row r="185" ht="23.25" customHeight="1" s="13"/>
    <row r="186" ht="23.25" customHeight="1" s="13"/>
    <row r="187" ht="23.25" customHeight="1" s="13"/>
    <row r="188" ht="23.25" customHeight="1" s="13"/>
    <row r="189" ht="23.25" customHeight="1" s="13"/>
    <row r="190" ht="23.25" customHeight="1" s="13"/>
    <row r="191" ht="23.25" customHeight="1" s="13"/>
    <row r="192" ht="23.25" customHeight="1" s="13"/>
    <row r="193" ht="45.75" customHeight="1" s="13"/>
    <row r="194" ht="23.25" customHeight="1" s="13"/>
    <row r="195" ht="57" customHeight="1" s="13"/>
    <row r="196" ht="34.5" customHeight="1" s="13"/>
    <row r="197" ht="23.25" customHeight="1" s="13"/>
    <row r="198" ht="23.25" customHeight="1" s="13"/>
    <row r="199" ht="23.25" customHeight="1" s="13"/>
    <row r="200" ht="23.25" customHeight="1" s="13"/>
    <row r="201" ht="23.25" customHeight="1" s="13"/>
    <row r="202" ht="23.25" customHeight="1" s="13"/>
    <row r="203" ht="23.25" customHeight="1" s="13"/>
    <row r="204" ht="23.25" customHeight="1" s="13"/>
    <row r="205" ht="57" customHeight="1" s="13"/>
    <row r="206" ht="57" customHeight="1" s="13"/>
    <row r="207" ht="45.75" customHeight="1" s="13"/>
    <row r="208" ht="23.25" customHeight="1" s="13"/>
    <row r="209" ht="23.25" customHeight="1" s="13"/>
    <row r="210" ht="23.25" customHeight="1" s="13"/>
    <row r="211" ht="23.25" customHeight="1" s="13"/>
    <row r="212" ht="23.25" customHeight="1" s="13"/>
    <row r="213" ht="23.25" customHeight="1" s="13"/>
    <row r="214" ht="23.25" customHeight="1" s="13"/>
    <row r="215" ht="23.25" customHeight="1" s="13"/>
    <row r="216" ht="23.25" customHeight="1" s="13"/>
    <row r="217" ht="23.25" customHeight="1" s="13"/>
    <row r="218" ht="23.25" customHeight="1" s="13"/>
    <row r="219" ht="23.25" customHeight="1" s="13"/>
    <row r="220" ht="23.25" customHeight="1" s="13"/>
    <row r="221" ht="23.25" customHeight="1" s="13"/>
    <row r="222" ht="34.5" customHeight="1" s="13"/>
    <row r="223" ht="23.25" customHeight="1" s="13"/>
    <row r="224" ht="23.25" customHeight="1" s="13"/>
    <row r="225" ht="23.25" customHeight="1" s="13"/>
    <row r="226" ht="23.25" customHeight="1" s="13"/>
    <row r="227" ht="23.25" customHeight="1" s="13"/>
    <row r="228" ht="23.25" customHeight="1" s="13"/>
    <row r="229" ht="34.5" customHeight="1" s="13"/>
    <row r="230" ht="23.25" customHeight="1" s="13"/>
    <row r="231" ht="23.25" customHeight="1" s="13"/>
    <row r="232" ht="23.25" customHeight="1" s="13"/>
    <row r="233" ht="57" customHeight="1" s="13"/>
    <row r="234" ht="23.25" customHeight="1" s="13"/>
    <row r="235" ht="34.5" customHeight="1" s="13"/>
    <row r="236" ht="23.25" customHeight="1" s="13"/>
    <row r="237" ht="23.25" customHeight="1" s="13"/>
    <row r="238" ht="23.25" customHeight="1" s="13"/>
    <row r="239" ht="23.25" customHeight="1" s="13"/>
    <row r="240" ht="23.25" customHeight="1" s="13"/>
    <row r="241" ht="23.25" customHeight="1" s="13"/>
    <row r="242" ht="23.25" customHeight="1" s="13"/>
    <row r="243" ht="23.25" customHeight="1" s="13"/>
    <row r="244" ht="23.25" customHeight="1" s="13"/>
    <row r="245" ht="23.25" customHeight="1" s="13"/>
    <row r="246" ht="23.25" customHeight="1" s="13"/>
    <row r="247" ht="23.25" customHeight="1" s="13"/>
    <row r="248" ht="23.25" customHeight="1" s="13"/>
    <row r="249" ht="23.25" customHeight="1" s="13"/>
    <row r="250" ht="15" customHeight="1" s="13"/>
    <row r="251" ht="23.25" customHeight="1" s="13"/>
    <row r="252" ht="23.25" customHeight="1" s="13"/>
    <row r="253" ht="57" customHeight="1" s="13"/>
    <row r="254" ht="23.25" customHeight="1" s="13"/>
    <row r="255" ht="45.75" customHeight="1" s="13"/>
    <row r="256" ht="23.25" customHeight="1" s="13"/>
    <row r="257" ht="23.25" customHeight="1" s="13"/>
    <row r="258" ht="23.25" customHeight="1" s="13"/>
    <row r="259" ht="23.25" customHeight="1" s="13"/>
    <row r="260" ht="23.25" customHeight="1" s="13"/>
    <row r="261" ht="45.75" customHeight="1" s="13"/>
    <row r="262" ht="23.25" customHeight="1" s="13"/>
    <row r="263" ht="23.25" customHeight="1" s="13"/>
    <row r="264" ht="23.25" customHeight="1" s="13"/>
    <row r="265" ht="45.75" customHeight="1" s="13"/>
    <row r="266" ht="45.75" customHeight="1" s="13"/>
    <row r="267" ht="45.75" customHeight="1" s="13"/>
    <row r="268" ht="45.75" customHeight="1" s="13"/>
    <row r="269" ht="45.75" customHeight="1" s="13"/>
    <row r="270" ht="68.25" customHeight="1" s="13"/>
    <row r="271" ht="68.25" customHeight="1" s="13"/>
    <row r="272" ht="68.25" customHeight="1" s="13"/>
    <row r="273" ht="57" customHeight="1" s="13"/>
    <row r="274" ht="45.75" customHeight="1" s="13"/>
    <row r="275" ht="45.75" customHeight="1" s="13"/>
    <row r="276" ht="57" customHeight="1" s="13"/>
    <row r="277" ht="79.5" customHeight="1" s="13"/>
    <row r="278" ht="34.5" customHeight="1" s="13"/>
    <row r="279" ht="34.5" customHeight="1" s="13"/>
    <row r="280" ht="57" customHeight="1" s="13"/>
    <row r="281" ht="79.5" customHeight="1" s="13"/>
    <row r="282" ht="57" customHeight="1" s="13"/>
    <row r="283" ht="45.75" customHeight="1" s="13"/>
    <row r="284" ht="57" customHeight="1" s="13"/>
    <row r="285" ht="34.5" customHeight="1" s="13"/>
    <row r="286" ht="45.75" customHeight="1" s="13"/>
    <row r="287" ht="45.75" customHeight="1" s="13"/>
    <row r="288" ht="34.5" customHeight="1" s="13"/>
    <row r="289" ht="68.25" customHeight="1" s="13"/>
    <row r="290" ht="57" customHeight="1" s="13"/>
    <row r="291" ht="45.75" customHeight="1" s="13"/>
    <row r="292" ht="45.75" customHeight="1" s="13"/>
    <row r="293" ht="45.75" customHeight="1" s="13"/>
    <row r="294" ht="79.5" customHeight="1" s="13"/>
    <row r="295" ht="225" customHeight="1" s="13"/>
    <row r="296" ht="258.75" customHeight="1" s="13"/>
    <row r="297" ht="135.75" customHeight="1" s="13"/>
    <row r="298" ht="147" customHeight="1" s="13"/>
    <row r="299" ht="1311.75" customHeight="1" s="13"/>
    <row r="300" ht="135.75" customHeight="1" s="13"/>
    <row r="301" ht="135.75" customHeight="1" s="13"/>
    <row r="302" ht="90.75" customHeight="1" s="13"/>
    <row r="303" ht="784.5" customHeight="1" s="13"/>
    <row r="304" ht="157.5" customHeight="1" s="13"/>
    <row r="305" ht="102" customHeight="1" s="13"/>
    <row r="306" ht="684" customHeight="1" s="13"/>
    <row r="307" ht="102" customHeight="1" s="13"/>
    <row r="308" ht="15" customHeight="1" s="13"/>
    <row r="309" ht="15" customHeight="1" s="13"/>
    <row r="310" ht="15" customHeight="1" s="13"/>
    <row r="311" ht="15" customHeight="1" s="13"/>
    <row r="312" ht="15" customHeight="1" s="13"/>
    <row r="313" ht="15" customHeight="1" s="13"/>
    <row r="314" ht="15" customHeight="1" s="13"/>
    <row r="315" ht="15" customHeight="1" s="13"/>
    <row r="316" ht="15" customHeight="1" s="13"/>
    <row r="317" ht="15" customHeight="1" s="13"/>
    <row r="318" ht="15" customHeight="1" s="13"/>
    <row r="319" ht="15" customHeight="1" s="13"/>
    <row r="320" ht="15" customHeight="1" s="13"/>
    <row r="321" ht="15" customHeight="1" s="13"/>
    <row r="322" ht="15" customHeight="1" s="13"/>
    <row r="323" ht="15" customHeight="1" s="13"/>
    <row r="324" ht="15" customHeight="1" s="13"/>
    <row r="325" ht="15" customHeight="1" s="13"/>
    <row r="326" ht="15" customHeight="1" s="13"/>
    <row r="327" ht="15" customHeight="1" s="13"/>
    <row r="328" ht="15" customHeight="1" s="13"/>
    <row r="329" ht="15" customHeight="1" s="13"/>
    <row r="330" ht="15" customHeight="1" s="13"/>
    <row r="331" ht="15" customHeight="1" s="13"/>
    <row r="332" ht="15" customHeight="1" s="13"/>
    <row r="333" ht="15" customHeight="1" s="13"/>
    <row r="334" ht="15" customHeight="1" s="13"/>
    <row r="335" ht="15" customHeight="1" s="13"/>
    <row r="336" ht="15" customHeight="1" s="13"/>
    <row r="337" ht="15" customHeight="1" s="13"/>
    <row r="338" ht="15" customHeight="1" s="13"/>
    <row r="339" ht="15" customHeight="1" s="13"/>
    <row r="340" ht="15" customHeight="1" s="13"/>
    <row r="341" ht="15" customHeight="1" s="13"/>
    <row r="342" ht="15" customHeight="1" s="13"/>
    <row r="343" ht="15" customHeight="1" s="13"/>
    <row r="344" ht="15" customHeight="1" s="13"/>
    <row r="345" ht="15" customHeight="1" s="13"/>
    <row r="346" ht="15" customHeight="1" s="13"/>
    <row r="347" ht="15" customHeight="1" s="13"/>
    <row r="348" ht="15" customHeight="1" s="13"/>
    <row r="349" ht="15" customHeight="1" s="13"/>
    <row r="350" ht="15" customHeight="1" s="13"/>
    <row r="351" ht="15" customHeight="1" s="13"/>
    <row r="352" ht="15" customHeight="1" s="13"/>
    <row r="353" ht="15" customHeight="1" s="13"/>
    <row r="354" ht="15" customHeight="1" s="13"/>
    <row r="355" ht="15" customHeight="1" s="13"/>
    <row r="356" ht="15" customHeight="1" s="13"/>
    <row r="357" ht="15" customHeight="1" s="13"/>
    <row r="358" ht="15" customHeight="1" s="13"/>
    <row r="359" ht="15" customHeight="1" s="13"/>
    <row r="360" ht="15" customHeight="1" s="13"/>
    <row r="361" ht="15" customHeight="1" s="13"/>
    <row r="362" ht="15" customHeight="1" s="13"/>
    <row r="363" ht="15" customHeight="1" s="13"/>
    <row r="364" ht="15" customHeight="1" s="13"/>
    <row r="365" ht="15" customHeight="1" s="13"/>
    <row r="366" ht="15" customHeight="1" s="13"/>
    <row r="367" ht="15" customHeight="1" s="13"/>
    <row r="368" ht="15" customHeight="1" s="13"/>
    <row r="369" ht="15" customHeight="1" s="13"/>
    <row r="370" ht="15" customHeight="1" s="13"/>
  </sheetData>
  <autoFilter ref="A1:V26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5" customWidth="1" style="12" min="1" max="1"/>
    <col width="60" customWidth="1" style="12" min="2" max="2"/>
    <col width="70" customWidth="1" style="12" min="3" max="3"/>
  </cols>
  <sheetData>
    <row r="1" ht="15" customHeight="1" s="13">
      <c r="A1" s="18" t="inlineStr">
        <is>
          <t>Source</t>
        </is>
      </c>
      <c r="B1" s="18" t="inlineStr">
        <is>
          <t>URL</t>
        </is>
      </c>
      <c r="C1" s="18" t="inlineStr">
        <is>
          <t>Best for</t>
        </is>
      </c>
    </row>
    <row r="2" ht="23.25" customHeight="1" s="13">
      <c r="A2" s="19" t="inlineStr">
        <is>
          <t>NWS Albany – Past Weather Events (weather.gov/aly/pastevents)</t>
        </is>
      </c>
      <c r="B2" s="19" t="inlineStr">
        <is>
          <t>https://www.weather.gov/aly/pastevents</t>
        </is>
      </c>
      <c r="C2" s="19" t="inlineStr">
        <is>
          <t>Authoritative local recap: flood crests at Albany/Troy/Schenectady, Albany snow totals, ice storms, outages, 2011–2026 event writeups.</t>
        </is>
      </c>
    </row>
    <row r="3" ht="23.25" customHeight="1" s="13"/>
    <row r="4" ht="15" customHeight="1" s="13"/>
    <row r="5" ht="15" customHeight="1" s="13"/>
    <row r="6" ht="23.25" customHeight="1" s="13"/>
    <row r="7" ht="23.25" customHeight="1" s="13"/>
    <row r="8" ht="23.25" customHeight="1" s="13"/>
    <row r="9" ht="68.25" customHeight="1" s="13"/>
    <row r="10" ht="34.5" customHeight="1" s="13"/>
    <row r="11" ht="34.5" customHeight="1" s="13"/>
    <row r="12" ht="45.75" customHeight="1" s="13"/>
    <row r="13" ht="34.5" customHeight="1" s="13"/>
    <row r="14" ht="68.25" customHeight="1" s="13"/>
    <row r="15" ht="34.5" customHeight="1" s="13"/>
    <row r="16" ht="23.25" customHeight="1" s="13"/>
    <row r="17" ht="34.5" customHeight="1" s="13"/>
    <row r="18" ht="23.25" customHeight="1" s="13"/>
    <row r="19" ht="34.5" customHeight="1" s="13"/>
    <row r="20" ht="23.25" customHeight="1" s="13"/>
    <row r="21" ht="23.25" customHeight="1" s="13"/>
    <row r="22" ht="15" customHeight="1" s="13"/>
    <row r="23" ht="15" customHeight="1" s="13"/>
    <row r="24" ht="15" customHeight="1" s="13"/>
    <row r="25" ht="57" customHeight="1" s="13"/>
    <row r="26" ht="45.75" customHeight="1" s="13"/>
    <row r="27" ht="68.25" customHeight="1" s="13"/>
    <row r="28" ht="90.75" customHeight="1" s="13"/>
    <row r="29" ht="45.75" customHeight="1" s="13"/>
    <row r="30" ht="23.25" customHeight="1" s="13"/>
    <row r="31" ht="23.25" customHeight="1" s="13"/>
    <row r="32" ht="34.5" customHeight="1" s="13"/>
    <row r="33" ht="23.25" customHeight="1" s="13"/>
    <row r="34" ht="34.5" customHeight="1" s="13"/>
    <row r="35" ht="113.25" customHeight="1" s="13"/>
    <row r="36" ht="15" customHeight="1" s="13"/>
    <row r="37" ht="15" customHeight="1" s="13"/>
    <row r="38" ht="15" customHeight="1" s="13"/>
    <row r="39" ht="15" customHeight="1" s="13"/>
    <row r="40" ht="15" customHeight="1" s="13"/>
    <row r="41" ht="15" customHeight="1" s="13"/>
    <row r="42" ht="15" customHeight="1" s="1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2026-09-21T01:00:06Z</dcterms:created>
  <dcterms:modified xmlns:dcterms="http://purl.org/dc/terms/" xmlns:xsi="http://www.w3.org/2001/XMLSchema-instance" xsi:type="dcterms:W3CDTF">2026-10-06T16:46:24Z</dcterms:modified>
  <cp:revision>0</cp:revision>
</cp:coreProperties>
</file>